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<sst xmlns="http://schemas.openxmlformats.org/spreadsheetml/2006/main" count="128" uniqueCount="91">
  <si>
    <t xml:space="preserve">AUTOMATED PIANO TUNER — BILL OF MATERIALS</t>
  </si>
  <si>
    <t xml:space="preserve">School project — planning phase — do not order until design is finalised</t>
  </si>
  <si>
    <t xml:space="preserve">Part / Description</t>
  </si>
  <si>
    <t xml:space="preserve">Qty</t>
  </si>
  <si>
    <t xml:space="preserve">Unit cost (SEK)</t>
  </si>
  <si>
    <t xml:space="preserve">Total (SEK)</t>
  </si>
  <si>
    <t xml:space="preserve">Supplier</t>
  </si>
  <si>
    <t xml:space="preserve">Status</t>
  </si>
  <si>
    <t xml:space="preserve">Notes / Warnings</t>
  </si>
  <si>
    <t xml:space="preserve">  MOTORS &amp; DRIVES</t>
  </si>
  <si>
    <t xml:space="preserve">57BLR90-24-01-HG50 — 24V 220W 50:1 Planetary Geared BLDC, 20Nm, Hall sensors, 14mm keyed shaft</t>
  </si>
  <si>
    <t xml:space="preserve">StepperOnline (China — duties prepaid)</t>
  </si>
  <si>
    <t xml:space="preserve">ORDER</t>
  </si>
  <si>
    <t xml:space="preserve">⚑ China warehouse only. Duties prepaid Jan 2026. SSP sponsorship submitted. Set Notify Me on EU warehouse.</t>
  </si>
  <si>
    <t xml:space="preserve">Mean Well LRS-350-24 — 350W 24V 14.6A PSU</t>
  </si>
  <si>
    <t xml:space="preserve">StepperOnline</t>
  </si>
  <si>
    <t xml:space="preserve">Add to same cart as motors — one shipping fee.</t>
  </si>
  <si>
    <t xml:space="preserve">  ELECTRONICS — DRIVERS &amp; CONTROL</t>
  </si>
  <si>
    <t xml:space="preserve">B-G431B-ESC1 — ST FOC ESC, 40A peak, UART/CAN/PWM, 20×40mm, built-in 5V BEC</t>
  </si>
  <si>
    <t xml:space="preserve">DigiKey SE</t>
  </si>
  <si>
    <t xml:space="preserve">⚑ Buy 4 (3+1 spare). Check Mouser.se if DigiKey shows 0 stock. Sensitive to soldering heat — use flux pen.</t>
  </si>
  <si>
    <t xml:space="preserve">ESP32-WROOM-32 DevKit</t>
  </si>
  <si>
    <t xml:space="preserve">Electrokit.se</t>
  </si>
  <si>
    <t xml:space="preserve">READY</t>
  </si>
  <si>
    <t xml:space="preserve">Main controller — FFT pitch detection, motor coordination, servo PWM.</t>
  </si>
  <si>
    <t xml:space="preserve">TCA9548A I2C Multiplexer 8-channel</t>
  </si>
  <si>
    <t xml:space="preserve">Required — all 3× AS5600s share same I2C address. Without this, encoders conflict.</t>
  </si>
  <si>
    <t xml:space="preserve">  SENSING</t>
  </si>
  <si>
    <t xml:space="preserve">AS5600 Magnetic Encoder Breakout (Adafruit) — 12-bit I2C/PWM</t>
  </si>
  <si>
    <t xml:space="preserve">⚑ Buy 4 (3+1 spare). DIR pin MUST have 10kΩ pull-down. Use PWM output into B-G431B-ESC1 J8 pads.</t>
  </si>
  <si>
    <t xml:space="preserve">Diametrically Magnetised Magnet 6mm — for AS5600</t>
  </si>
  <si>
    <t xml:space="preserve">AliExpress</t>
  </si>
  <si>
    <t xml:space="preserve">⚑ ORDER FIRST — 2-3 week delivery. Needs 3D printed holder centred on 14mm shaft (±0.5mm).</t>
  </si>
  <si>
    <t xml:space="preserve">INMP441 I2S MEMS Microphone Breakout</t>
  </si>
  <si>
    <t xml:space="preserve">AliExpress / Amazon.se</t>
  </si>
  <si>
    <t xml:space="preserve">⚑ Add to AliExpress order with magnets. Digital I2S, fixed gain, no AGC. 1 used + 1 spare.</t>
  </si>
  <si>
    <t xml:space="preserve">  MUTING MECHANISM</t>
  </si>
  <si>
    <t xml:space="preserve">SG90 Micro Servo</t>
  </si>
  <si>
    <t xml:space="preserve">One per outer string. 3.3V PWM from ESP32. Power from B-G431B-ESC1 BEC 5V rail.</t>
  </si>
  <si>
    <t xml:space="preserve">Piano Felt Wedge Mutes</t>
  </si>
  <si>
    <t xml:space="preserve">Amazon.se</t>
  </si>
  <si>
    <t xml:space="preserve">Glued to 3D printed servo arm.</t>
  </si>
  <si>
    <t xml:space="preserve">  MECHANICAL COUPLING</t>
  </si>
  <si>
    <t xml:space="preserve">Power Piano Tuning Pin Socket No.2 — 8-point star tip</t>
  </si>
  <si>
    <t xml:space="preserve">Amazon.se / Amazon.co.uk</t>
  </si>
  <si>
    <t xml:space="preserve">⚑ Buy 4 (3+1 spare). Steel only — no plastic. Bring to machine shop to measure triangular shank.</t>
  </si>
  <si>
    <t xml:space="preserve">Shaft Coupler — Machined Aluminium (14mm H7 bore + 5×5mm keyway → triangular socket, M4 grub screw)</t>
  </si>
  <si>
    <t xml:space="preserve">Local machine shop Västerås</t>
  </si>
  <si>
    <t xml:space="preserve">OPEN</t>
  </si>
  <si>
    <t xml:space="preserve">⚑ DESIGN IN INVENTOR FIRST. Carries full 20Nm. Specify 14mm H7 fit + DIN 6885 keyway to machine shop. Budget 300–600 SEK each.</t>
  </si>
  <si>
    <t xml:space="preserve">AS5600 Magnet Holder — 3D Printed PETG</t>
  </si>
  <si>
    <t xml:space="preserve">Print at school</t>
  </si>
  <si>
    <t xml:space="preserve">⚑ DESIGN IN INVENTOR. Clamps to 14mm shaft end. Centre 6mm magnet ±0.5mm. Add set-screws for adjustment.</t>
  </si>
  <si>
    <t xml:space="preserve">5×5mm Steel Key Stock ~100mm</t>
  </si>
  <si>
    <t xml:space="preserve">Hardware store / Electrokit</t>
  </si>
  <si>
    <t xml:space="preserve">Standard DIN 6885 key. Machine shop may supply — confirm before buying.</t>
  </si>
  <si>
    <t xml:space="preserve">  3D PRINTING</t>
  </si>
  <si>
    <t xml:space="preserve">PETG or ASA Filament 1kg</t>
  </si>
  <si>
    <t xml:space="preserve">Prusa / local supplier</t>
  </si>
  <si>
    <t xml:space="preserve">Chassis, motor mounts, servo arms, magnet holders. ASA preferred — better heat resistance near motors. Prusa edu form drafted.</t>
  </si>
  <si>
    <t xml:space="preserve">  CONNECTORS &amp; MISC</t>
  </si>
  <si>
    <t xml:space="preserve">Component Kit — Resistors + Capacitors assorted</t>
  </si>
  <si>
    <t xml:space="preserve">Covers 10kΩ pull-downs (AS5600 DIR), 4.7kΩ I2C pull-ups, 100nF decoupling caps.</t>
  </si>
  <si>
    <t xml:space="preserve">Breadboard 830-point</t>
  </si>
  <si>
    <t xml:space="preserve">⚑ MISSING FROM ORIGINAL BOM. Needed for prototyping ESP32 connections before soldering.</t>
  </si>
  <si>
    <t xml:space="preserve">Pin Headers 2.54mm male + female strips</t>
  </si>
  <si>
    <t xml:space="preserve">For ESP32, TCA9548A, encoder connections.</t>
  </si>
  <si>
    <t xml:space="preserve">JST Connectors 2-pin and 3-pin assorted</t>
  </si>
  <si>
    <t xml:space="preserve">Motor phase and signal wiring.</t>
  </si>
  <si>
    <t xml:space="preserve">XT60 Power Connectors (pair)</t>
  </si>
  <si>
    <t xml:space="preserve">24V main power input from PSU.</t>
  </si>
  <si>
    <t xml:space="preserve">Screw Terminals 5.08mm pitch</t>
  </si>
  <si>
    <t xml:space="preserve">Motor phase connections to B-G431B-ESC1.</t>
  </si>
  <si>
    <t xml:space="preserve">M3 Screws Assortment + Heat-Set Inserts</t>
  </si>
  <si>
    <t xml:space="preserve">Electrokit / Amazon.se</t>
  </si>
  <si>
    <t xml:space="preserve">Chassis assembly and motor mounting. Inserts in every structural joint.</t>
  </si>
  <si>
    <t xml:space="preserve">Hook-Up Wire Assorted 22AWG</t>
  </si>
  <si>
    <t xml:space="preserve">Signal and power wiring throughout.</t>
  </si>
  <si>
    <t xml:space="preserve">Heatshrink Tubing assorted</t>
  </si>
  <si>
    <t xml:space="preserve">⚑ MISSING FROM ORIGINAL BOM. Insulate motor phase solder joints.</t>
  </si>
  <si>
    <t xml:space="preserve">Micro USB Cable</t>
  </si>
  <si>
    <t xml:space="preserve">Already have / Amazon.se</t>
  </si>
  <si>
    <t xml:space="preserve">For flashing firmware to B-G431B-ESC1.</t>
  </si>
  <si>
    <t xml:space="preserve">  SOLDERING SUPPLIES</t>
  </si>
  <si>
    <t xml:space="preserve">Soldering Flux Pen</t>
  </si>
  <si>
    <t xml:space="preserve">⚑ Critical — B-G431B-ESC1 is heat-sensitive. Flux reduces soldering temp needed.</t>
  </si>
  <si>
    <t xml:space="preserve">Fine Solder 0.5mm</t>
  </si>
  <si>
    <t xml:space="preserve">For small J8 pads on B-G431B-ESC1. Standard 1mm is too thick.</t>
  </si>
  <si>
    <t xml:space="preserve">ESTIMATED TOTAL (excl. 3D prints — see notes)</t>
  </si>
  <si>
    <t xml:space="preserve">⚑ Machined coupler budget 300–600 SEK each — get quote first</t>
  </si>
  <si>
    <t xml:space="preserve">  STATUS:   ✓ READY = confirmed, add to cart     ⚠ ORDER = needs cart/decision     ✗ OPEN = design/source first     |     Prices in SEK incl. VAT estimates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</si>
</sst>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&quot; SEK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8888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E8E8E8"/>
      <name val="Arial"/>
      <family val="0"/>
      <charset val="1"/>
    </font>
    <font>
      <sz val="10"/>
      <color rgb="FFDDDDEE"/>
      <name val="Arial"/>
      <family val="0"/>
      <charset val="1"/>
    </font>
    <font>
      <sz val="9"/>
      <color rgb="FF999AAA"/>
      <name val="Arial"/>
      <family val="0"/>
      <charset val="1"/>
    </font>
    <font>
      <b val="true"/>
      <sz val="10"/>
      <color rgb="FFFFD580"/>
      <name val="Arial"/>
      <family val="0"/>
      <charset val="1"/>
    </font>
    <font>
      <sz val="9"/>
      <color rgb="FFFF9944"/>
      <name val="Arial"/>
      <family val="0"/>
      <charset val="1"/>
    </font>
    <font>
      <b val="true"/>
      <sz val="10"/>
      <color rgb="FFA8D5B5"/>
      <name val="Arial"/>
      <family val="0"/>
      <charset val="1"/>
    </font>
    <font>
      <b val="true"/>
      <sz val="10"/>
      <color rgb="FFFFB3B3"/>
      <name val="Arial"/>
      <family val="0"/>
      <charset val="1"/>
    </font>
    <font>
      <sz val="9"/>
      <color rgb="FFFFBB66"/>
      <name val="Arial"/>
      <family val="0"/>
      <charset val="1"/>
    </font>
    <font>
      <sz val="9"/>
      <color rgb="FF66667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0F3460"/>
        <bgColor rgb="FF2A2A4A"/>
      </patternFill>
    </fill>
    <fill>
      <patternFill patternType="solid">
        <fgColor rgb="FF16213E"/>
        <bgColor rgb="FF1E1E2E"/>
      </patternFill>
    </fill>
    <fill>
      <patternFill patternType="solid">
        <fgColor rgb="FF1E1E2E"/>
        <bgColor rgb="FF1A1A2E"/>
      </patternFill>
    </fill>
    <fill>
      <patternFill patternType="solid">
        <fgColor rgb="FF4D3A00"/>
        <bgColor rgb="FF4D1A1A"/>
      </patternFill>
    </fill>
    <fill>
      <patternFill patternType="solid">
        <fgColor rgb="FF252535"/>
        <bgColor rgb="FF1E1E2E"/>
      </patternFill>
    </fill>
    <fill>
      <patternFill patternType="solid">
        <fgColor rgb="FF1E4D2B"/>
        <bgColor rgb="FF0F3460"/>
      </patternFill>
    </fill>
    <fill>
      <patternFill patternType="solid">
        <fgColor rgb="FF4D1A1A"/>
        <bgColor rgb="FF25253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4A"/>
      </left>
      <right style="thin">
        <color rgb="FF2A2A4A"/>
      </right>
      <top style="thin">
        <color rgb="FF2A2A4A"/>
      </top>
      <bottom style="thin">
        <color rgb="FF2A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4D2B"/>
      <rgbColor rgb="FF1A1A2E"/>
      <rgbColor rgb="FF808000"/>
      <rgbColor rgb="FF800080"/>
      <rgbColor rgb="FF008080"/>
      <rgbColor rgb="FFA8D5B5"/>
      <rgbColor rgb="FF888899"/>
      <rgbColor rgb="FF9999FF"/>
      <rgbColor rgb="FF993366"/>
      <rgbColor rgb="FFE8E8E8"/>
      <rgbColor rgb="FFCCFFFF"/>
      <rgbColor rgb="FF4D1A1A"/>
      <rgbColor rgb="FFFF8080"/>
      <rgbColor rgb="FF0066CC"/>
      <rgbColor rgb="FFDDDDEE"/>
      <rgbColor rgb="FF1E1E2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3B3"/>
      <rgbColor rgb="FFCC99FF"/>
      <rgbColor rgb="FFFFD580"/>
      <rgbColor rgb="FF3366FF"/>
      <rgbColor rgb="FF33CCCC"/>
      <rgbColor rgb="FF99CC00"/>
      <rgbColor rgb="FFFFBB66"/>
      <rgbColor rgb="FFFF9944"/>
      <rgbColor rgb="FFFF6600"/>
      <rgbColor rgb="FF666677"/>
      <rgbColor rgb="FF999AAA"/>
      <rgbColor rgb="FF0F3460"/>
      <rgbColor rgb="FF339966"/>
      <rgbColor rgb="FF16213E"/>
      <rgbColor rgb="FF4D3A00"/>
      <rgbColor rgb="FF993300"/>
      <rgbColor rgb="FF993366"/>
      <rgbColor rgb="FF252535"/>
      <rgbColor rgb="FF2A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8" hidden="false" customHeight="tru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51.75" hidden="false" customHeight="true" outlineLevel="0" collapsed="false">
      <c r="A6" s="6" t="s">
        <v>10</v>
      </c>
      <c r="B6" s="7" t="n">
        <v>3</v>
      </c>
      <c r="C6" s="8" t="n">
        <v>760</v>
      </c>
      <c r="D6" s="8" t="n">
        <f aca="false">B6*C6</f>
        <v>2280</v>
      </c>
      <c r="E6" s="9" t="s">
        <v>11</v>
      </c>
      <c r="F6" s="10" t="s">
        <v>12</v>
      </c>
      <c r="G6" s="11" t="s">
        <v>13</v>
      </c>
    </row>
    <row r="7" customFormat="false" ht="51.75" hidden="false" customHeight="true" outlineLevel="0" collapsed="false">
      <c r="A7" s="12" t="s">
        <v>14</v>
      </c>
      <c r="B7" s="13" t="n">
        <v>1</v>
      </c>
      <c r="C7" s="14" t="n">
        <v>260</v>
      </c>
      <c r="D7" s="14" t="n">
        <f aca="false">B7*C7</f>
        <v>260</v>
      </c>
      <c r="E7" s="15" t="s">
        <v>15</v>
      </c>
      <c r="F7" s="10" t="s">
        <v>12</v>
      </c>
      <c r="G7" s="16" t="s">
        <v>16</v>
      </c>
    </row>
    <row r="8" customFormat="false" ht="18" hidden="false" customHeight="true" outlineLevel="0" collapsed="false">
      <c r="A8" s="5" t="s">
        <v>17</v>
      </c>
      <c r="B8" s="5"/>
      <c r="C8" s="5"/>
      <c r="D8" s="5"/>
      <c r="E8" s="5"/>
      <c r="F8" s="5"/>
      <c r="G8" s="5"/>
    </row>
    <row r="9" customFormat="false" ht="51.75" hidden="false" customHeight="true" outlineLevel="0" collapsed="false">
      <c r="A9" s="12" t="s">
        <v>18</v>
      </c>
      <c r="B9" s="13" t="n">
        <v>4</v>
      </c>
      <c r="C9" s="14" t="n">
        <v>200</v>
      </c>
      <c r="D9" s="14" t="n">
        <f aca="false">B9*C9</f>
        <v>800</v>
      </c>
      <c r="E9" s="15" t="s">
        <v>19</v>
      </c>
      <c r="F9" s="10" t="s">
        <v>12</v>
      </c>
      <c r="G9" s="17" t="s">
        <v>20</v>
      </c>
    </row>
    <row r="10" customFormat="false" ht="51.75" hidden="false" customHeight="true" outlineLevel="0" collapsed="false">
      <c r="A10" s="6" t="s">
        <v>21</v>
      </c>
      <c r="B10" s="7" t="n">
        <v>1</v>
      </c>
      <c r="C10" s="8" t="n">
        <v>50</v>
      </c>
      <c r="D10" s="8" t="n">
        <f aca="false">B10*C10</f>
        <v>50</v>
      </c>
      <c r="E10" s="9" t="s">
        <v>22</v>
      </c>
      <c r="F10" s="18" t="s">
        <v>23</v>
      </c>
      <c r="G10" s="19" t="s">
        <v>24</v>
      </c>
    </row>
    <row r="11" customFormat="false" ht="51.75" hidden="false" customHeight="true" outlineLevel="0" collapsed="false">
      <c r="A11" s="12" t="s">
        <v>25</v>
      </c>
      <c r="B11" s="13" t="n">
        <v>1</v>
      </c>
      <c r="C11" s="14" t="n">
        <v>15</v>
      </c>
      <c r="D11" s="14" t="n">
        <f aca="false">B11*C11</f>
        <v>15</v>
      </c>
      <c r="E11" s="15" t="s">
        <v>22</v>
      </c>
      <c r="F11" s="18" t="s">
        <v>23</v>
      </c>
      <c r="G11" s="16" t="s">
        <v>26</v>
      </c>
    </row>
    <row r="12" customFormat="false" ht="18" hidden="false" customHeight="true" outlineLevel="0" collapsed="false">
      <c r="A12" s="5" t="s">
        <v>27</v>
      </c>
      <c r="B12" s="5"/>
      <c r="C12" s="5"/>
      <c r="D12" s="5"/>
      <c r="E12" s="5"/>
      <c r="F12" s="5"/>
      <c r="G12" s="5"/>
    </row>
    <row r="13" customFormat="false" ht="51.75" hidden="false" customHeight="true" outlineLevel="0" collapsed="false">
      <c r="A13" s="12" t="s">
        <v>28</v>
      </c>
      <c r="B13" s="13" t="n">
        <v>4</v>
      </c>
      <c r="C13" s="14" t="n">
        <v>54</v>
      </c>
      <c r="D13" s="14" t="n">
        <f aca="false">B13*C13</f>
        <v>216</v>
      </c>
      <c r="E13" s="15" t="s">
        <v>19</v>
      </c>
      <c r="F13" s="18" t="s">
        <v>23</v>
      </c>
      <c r="G13" s="17" t="s">
        <v>29</v>
      </c>
    </row>
    <row r="14" customFormat="false" ht="51.75" hidden="false" customHeight="true" outlineLevel="0" collapsed="false">
      <c r="A14" s="6" t="s">
        <v>30</v>
      </c>
      <c r="B14" s="7" t="n">
        <v>4</v>
      </c>
      <c r="C14" s="8" t="n">
        <v>10</v>
      </c>
      <c r="D14" s="8" t="n">
        <f aca="false">B14*C14</f>
        <v>40</v>
      </c>
      <c r="E14" s="9" t="s">
        <v>31</v>
      </c>
      <c r="F14" s="10" t="s">
        <v>12</v>
      </c>
      <c r="G14" s="11" t="s">
        <v>32</v>
      </c>
    </row>
    <row r="15" customFormat="false" ht="51.75" hidden="false" customHeight="true" outlineLevel="0" collapsed="false">
      <c r="A15" s="12" t="s">
        <v>33</v>
      </c>
      <c r="B15" s="13" t="n">
        <v>2</v>
      </c>
      <c r="C15" s="14" t="n">
        <v>40</v>
      </c>
      <c r="D15" s="14" t="n">
        <f aca="false">B15*C15</f>
        <v>80</v>
      </c>
      <c r="E15" s="15" t="s">
        <v>34</v>
      </c>
      <c r="F15" s="10" t="s">
        <v>12</v>
      </c>
      <c r="G15" s="17" t="s">
        <v>35</v>
      </c>
    </row>
    <row r="16" customFormat="false" ht="18" hidden="false" customHeight="true" outlineLevel="0" collapsed="false">
      <c r="A16" s="5" t="s">
        <v>36</v>
      </c>
      <c r="B16" s="5"/>
      <c r="C16" s="5"/>
      <c r="D16" s="5"/>
      <c r="E16" s="5"/>
      <c r="F16" s="5"/>
      <c r="G16" s="5"/>
    </row>
    <row r="17" customFormat="false" ht="51.75" hidden="false" customHeight="true" outlineLevel="0" collapsed="false">
      <c r="A17" s="12" t="s">
        <v>37</v>
      </c>
      <c r="B17" s="13" t="n">
        <v>2</v>
      </c>
      <c r="C17" s="14" t="n">
        <v>25</v>
      </c>
      <c r="D17" s="14" t="n">
        <f aca="false">B17*C17</f>
        <v>50</v>
      </c>
      <c r="E17" s="15" t="s">
        <v>22</v>
      </c>
      <c r="F17" s="18" t="s">
        <v>23</v>
      </c>
      <c r="G17" s="16" t="s">
        <v>38</v>
      </c>
    </row>
    <row r="18" customFormat="false" ht="51.75" hidden="false" customHeight="true" outlineLevel="0" collapsed="false">
      <c r="A18" s="6" t="s">
        <v>39</v>
      </c>
      <c r="B18" s="7" t="n">
        <v>3</v>
      </c>
      <c r="C18" s="8" t="n">
        <v>20</v>
      </c>
      <c r="D18" s="8" t="n">
        <f aca="false">B18*C18</f>
        <v>60</v>
      </c>
      <c r="E18" s="9" t="s">
        <v>40</v>
      </c>
      <c r="F18" s="18" t="s">
        <v>23</v>
      </c>
      <c r="G18" s="19" t="s">
        <v>41</v>
      </c>
    </row>
    <row r="19" customFormat="false" ht="18" hidden="false" customHeight="true" outlineLevel="0" collapsed="false">
      <c r="A19" s="5" t="s">
        <v>42</v>
      </c>
      <c r="B19" s="5"/>
      <c r="C19" s="5"/>
      <c r="D19" s="5"/>
      <c r="E19" s="5"/>
      <c r="F19" s="5"/>
      <c r="G19" s="5"/>
    </row>
    <row r="20" customFormat="false" ht="51.75" hidden="false" customHeight="true" outlineLevel="0" collapsed="false">
      <c r="A20" s="6" t="s">
        <v>43</v>
      </c>
      <c r="B20" s="7" t="n">
        <v>4</v>
      </c>
      <c r="C20" s="8" t="n">
        <v>80</v>
      </c>
      <c r="D20" s="8" t="n">
        <f aca="false">B20*C20</f>
        <v>320</v>
      </c>
      <c r="E20" s="9" t="s">
        <v>44</v>
      </c>
      <c r="F20" s="10" t="s">
        <v>12</v>
      </c>
      <c r="G20" s="11" t="s">
        <v>45</v>
      </c>
    </row>
    <row r="21" customFormat="false" ht="51.75" hidden="false" customHeight="true" outlineLevel="0" collapsed="false">
      <c r="A21" s="12" t="s">
        <v>46</v>
      </c>
      <c r="B21" s="13" t="n">
        <v>3</v>
      </c>
      <c r="C21" s="14" t="n">
        <v>400</v>
      </c>
      <c r="D21" s="14" t="n">
        <f aca="false">B21*C21</f>
        <v>1200</v>
      </c>
      <c r="E21" s="15" t="s">
        <v>47</v>
      </c>
      <c r="F21" s="20" t="s">
        <v>48</v>
      </c>
      <c r="G21" s="17" t="s">
        <v>49</v>
      </c>
    </row>
    <row r="22" customFormat="false" ht="51.75" hidden="false" customHeight="true" outlineLevel="0" collapsed="false">
      <c r="A22" s="6" t="s">
        <v>50</v>
      </c>
      <c r="B22" s="7" t="n">
        <v>3</v>
      </c>
      <c r="C22" s="21"/>
      <c r="D22" s="21"/>
      <c r="E22" s="9" t="s">
        <v>51</v>
      </c>
      <c r="F22" s="20" t="s">
        <v>48</v>
      </c>
      <c r="G22" s="11" t="s">
        <v>52</v>
      </c>
    </row>
    <row r="23" customFormat="false" ht="51.75" hidden="false" customHeight="true" outlineLevel="0" collapsed="false">
      <c r="A23" s="12" t="s">
        <v>53</v>
      </c>
      <c r="B23" s="13" t="n">
        <v>1</v>
      </c>
      <c r="C23" s="14" t="n">
        <v>20</v>
      </c>
      <c r="D23" s="14" t="n">
        <f aca="false">B23*C23</f>
        <v>20</v>
      </c>
      <c r="E23" s="15" t="s">
        <v>54</v>
      </c>
      <c r="F23" s="18" t="s">
        <v>23</v>
      </c>
      <c r="G23" s="16" t="s">
        <v>55</v>
      </c>
    </row>
    <row r="24" customFormat="false" ht="18" hidden="false" customHeight="true" outlineLevel="0" collapsed="false">
      <c r="A24" s="5" t="s">
        <v>56</v>
      </c>
      <c r="B24" s="5"/>
      <c r="C24" s="5"/>
      <c r="D24" s="5"/>
      <c r="E24" s="5"/>
      <c r="F24" s="5"/>
      <c r="G24" s="5"/>
    </row>
    <row r="25" customFormat="false" ht="51.75" hidden="false" customHeight="true" outlineLevel="0" collapsed="false">
      <c r="A25" s="12" t="s">
        <v>57</v>
      </c>
      <c r="B25" s="13" t="n">
        <v>1</v>
      </c>
      <c r="C25" s="14" t="n">
        <v>200</v>
      </c>
      <c r="D25" s="14" t="n">
        <f aca="false">B25*C25</f>
        <v>200</v>
      </c>
      <c r="E25" s="15" t="s">
        <v>58</v>
      </c>
      <c r="F25" s="10" t="s">
        <v>12</v>
      </c>
      <c r="G25" s="16" t="s">
        <v>59</v>
      </c>
    </row>
    <row r="26" customFormat="false" ht="18" hidden="false" customHeight="true" outlineLevel="0" collapsed="false">
      <c r="A26" s="5" t="s">
        <v>60</v>
      </c>
      <c r="B26" s="5"/>
      <c r="C26" s="5"/>
      <c r="D26" s="5"/>
      <c r="E26" s="5"/>
      <c r="F26" s="5"/>
      <c r="G26" s="5"/>
    </row>
    <row r="27" customFormat="false" ht="51.75" hidden="false" customHeight="true" outlineLevel="0" collapsed="false">
      <c r="A27" s="12" t="s">
        <v>61</v>
      </c>
      <c r="B27" s="13" t="n">
        <v>1</v>
      </c>
      <c r="C27" s="14" t="n">
        <v>150</v>
      </c>
      <c r="D27" s="14" t="n">
        <f aca="false">B27*C27</f>
        <v>150</v>
      </c>
      <c r="E27" s="15" t="s">
        <v>22</v>
      </c>
      <c r="F27" s="18" t="s">
        <v>23</v>
      </c>
      <c r="G27" s="16" t="s">
        <v>62</v>
      </c>
    </row>
    <row r="28" customFormat="false" ht="51.75" hidden="false" customHeight="true" outlineLevel="0" collapsed="false">
      <c r="A28" s="6" t="s">
        <v>63</v>
      </c>
      <c r="B28" s="7" t="n">
        <v>1</v>
      </c>
      <c r="C28" s="8" t="n">
        <v>50</v>
      </c>
      <c r="D28" s="8" t="n">
        <f aca="false">B28*C28</f>
        <v>50</v>
      </c>
      <c r="E28" s="9" t="s">
        <v>22</v>
      </c>
      <c r="F28" s="18" t="s">
        <v>23</v>
      </c>
      <c r="G28" s="11" t="s">
        <v>64</v>
      </c>
    </row>
    <row r="29" customFormat="false" ht="51.75" hidden="false" customHeight="true" outlineLevel="0" collapsed="false">
      <c r="A29" s="12" t="s">
        <v>65</v>
      </c>
      <c r="B29" s="13" t="n">
        <v>2</v>
      </c>
      <c r="C29" s="14" t="n">
        <v>30</v>
      </c>
      <c r="D29" s="14" t="n">
        <f aca="false">B29*C29</f>
        <v>60</v>
      </c>
      <c r="E29" s="15" t="s">
        <v>22</v>
      </c>
      <c r="F29" s="18" t="s">
        <v>23</v>
      </c>
      <c r="G29" s="16" t="s">
        <v>66</v>
      </c>
    </row>
    <row r="30" customFormat="false" ht="51.75" hidden="false" customHeight="true" outlineLevel="0" collapsed="false">
      <c r="A30" s="6" t="s">
        <v>67</v>
      </c>
      <c r="B30" s="7" t="n">
        <v>1</v>
      </c>
      <c r="C30" s="8" t="n">
        <v>40</v>
      </c>
      <c r="D30" s="8" t="n">
        <f aca="false">B30*C30</f>
        <v>40</v>
      </c>
      <c r="E30" s="9" t="s">
        <v>22</v>
      </c>
      <c r="F30" s="18" t="s">
        <v>23</v>
      </c>
      <c r="G30" s="19" t="s">
        <v>68</v>
      </c>
    </row>
    <row r="31" customFormat="false" ht="51.75" hidden="false" customHeight="true" outlineLevel="0" collapsed="false">
      <c r="A31" s="12" t="s">
        <v>69</v>
      </c>
      <c r="B31" s="13" t="n">
        <v>2</v>
      </c>
      <c r="C31" s="14" t="n">
        <v>20</v>
      </c>
      <c r="D31" s="14" t="n">
        <f aca="false">B31*C31</f>
        <v>40</v>
      </c>
      <c r="E31" s="15" t="s">
        <v>22</v>
      </c>
      <c r="F31" s="18" t="s">
        <v>23</v>
      </c>
      <c r="G31" s="16" t="s">
        <v>70</v>
      </c>
    </row>
    <row r="32" customFormat="false" ht="51.75" hidden="false" customHeight="true" outlineLevel="0" collapsed="false">
      <c r="A32" s="6" t="s">
        <v>71</v>
      </c>
      <c r="B32" s="7" t="n">
        <v>4</v>
      </c>
      <c r="C32" s="8" t="n">
        <v>30</v>
      </c>
      <c r="D32" s="8" t="n">
        <f aca="false">B32*C32</f>
        <v>120</v>
      </c>
      <c r="E32" s="9" t="s">
        <v>22</v>
      </c>
      <c r="F32" s="18" t="s">
        <v>23</v>
      </c>
      <c r="G32" s="19" t="s">
        <v>72</v>
      </c>
    </row>
    <row r="33" customFormat="false" ht="51.75" hidden="false" customHeight="true" outlineLevel="0" collapsed="false">
      <c r="A33" s="12" t="s">
        <v>73</v>
      </c>
      <c r="B33" s="13" t="n">
        <v>1</v>
      </c>
      <c r="C33" s="14" t="n">
        <v>50</v>
      </c>
      <c r="D33" s="14" t="n">
        <f aca="false">B33*C33</f>
        <v>50</v>
      </c>
      <c r="E33" s="15" t="s">
        <v>74</v>
      </c>
      <c r="F33" s="18" t="s">
        <v>23</v>
      </c>
      <c r="G33" s="16" t="s">
        <v>75</v>
      </c>
    </row>
    <row r="34" customFormat="false" ht="51.75" hidden="false" customHeight="true" outlineLevel="0" collapsed="false">
      <c r="A34" s="6" t="s">
        <v>76</v>
      </c>
      <c r="B34" s="7" t="n">
        <v>1</v>
      </c>
      <c r="C34" s="8" t="n">
        <v>30</v>
      </c>
      <c r="D34" s="8" t="n">
        <f aca="false">B34*C34</f>
        <v>30</v>
      </c>
      <c r="E34" s="9" t="s">
        <v>22</v>
      </c>
      <c r="F34" s="18" t="s">
        <v>23</v>
      </c>
      <c r="G34" s="19" t="s">
        <v>77</v>
      </c>
    </row>
    <row r="35" customFormat="false" ht="51.75" hidden="false" customHeight="true" outlineLevel="0" collapsed="false">
      <c r="A35" s="12" t="s">
        <v>78</v>
      </c>
      <c r="B35" s="13" t="n">
        <v>1</v>
      </c>
      <c r="C35" s="14" t="n">
        <v>20</v>
      </c>
      <c r="D35" s="14" t="n">
        <f aca="false">B35*C35</f>
        <v>20</v>
      </c>
      <c r="E35" s="15" t="s">
        <v>22</v>
      </c>
      <c r="F35" s="18" t="s">
        <v>23</v>
      </c>
      <c r="G35" s="17" t="s">
        <v>79</v>
      </c>
    </row>
    <row r="36" customFormat="false" ht="51.75" hidden="false" customHeight="true" outlineLevel="0" collapsed="false">
      <c r="A36" s="6" t="s">
        <v>80</v>
      </c>
      <c r="B36" s="7" t="n">
        <v>1</v>
      </c>
      <c r="C36" s="8" t="n">
        <v>20</v>
      </c>
      <c r="D36" s="8" t="n">
        <f aca="false">B36*C36</f>
        <v>20</v>
      </c>
      <c r="E36" s="9" t="s">
        <v>81</v>
      </c>
      <c r="F36" s="18" t="s">
        <v>23</v>
      </c>
      <c r="G36" s="19" t="s">
        <v>82</v>
      </c>
    </row>
    <row r="37" customFormat="false" ht="18" hidden="false" customHeight="true" outlineLevel="0" collapsed="false">
      <c r="A37" s="5" t="s">
        <v>83</v>
      </c>
      <c r="B37" s="5"/>
      <c r="C37" s="5"/>
      <c r="D37" s="5"/>
      <c r="E37" s="5"/>
      <c r="F37" s="5"/>
      <c r="G37" s="5"/>
    </row>
    <row r="38" customFormat="false" ht="51.75" hidden="false" customHeight="true" outlineLevel="0" collapsed="false">
      <c r="A38" s="6" t="s">
        <v>84</v>
      </c>
      <c r="B38" s="7" t="n">
        <v>1</v>
      </c>
      <c r="C38" s="8" t="n">
        <v>30</v>
      </c>
      <c r="D38" s="8" t="n">
        <f aca="false">B38*C38</f>
        <v>30</v>
      </c>
      <c r="E38" s="9" t="s">
        <v>22</v>
      </c>
      <c r="F38" s="18" t="s">
        <v>23</v>
      </c>
      <c r="G38" s="11" t="s">
        <v>85</v>
      </c>
    </row>
    <row r="39" customFormat="false" ht="51.75" hidden="false" customHeight="true" outlineLevel="0" collapsed="false">
      <c r="A39" s="12" t="s">
        <v>86</v>
      </c>
      <c r="B39" s="13" t="n">
        <v>1</v>
      </c>
      <c r="C39" s="14" t="n">
        <v>40</v>
      </c>
      <c r="D39" s="14" t="n">
        <f aca="false">B39*C39</f>
        <v>40</v>
      </c>
      <c r="E39" s="15" t="s">
        <v>22</v>
      </c>
      <c r="F39" s="18" t="s">
        <v>23</v>
      </c>
      <c r="G39" s="16" t="s">
        <v>87</v>
      </c>
    </row>
    <row r="40" customFormat="false" ht="7.5" hidden="false" customHeight="true" outlineLevel="0" collapsed="false">
      <c r="A40" s="3"/>
      <c r="B40" s="3"/>
      <c r="C40" s="3"/>
      <c r="D40" s="3"/>
      <c r="E40" s="3"/>
      <c r="F40" s="3"/>
      <c r="G40" s="3"/>
    </row>
    <row r="41" customFormat="false" ht="21.75" hidden="false" customHeight="true" outlineLevel="0" collapsed="false">
      <c r="A41" s="22" t="s">
        <v>88</v>
      </c>
      <c r="B41" s="22"/>
      <c r="C41" s="22"/>
      <c r="D41" s="23" t="n">
        <f aca="false">SUM(D5:D39)</f>
        <v>6241</v>
      </c>
      <c r="E41" s="24" t="s">
        <v>89</v>
      </c>
      <c r="F41" s="24"/>
      <c r="G41" s="24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5"/>
      <c r="G42" s="25"/>
    </row>
    <row r="43" customFormat="false" ht="15.75" hidden="false" customHeight="true" outlineLevel="0" collapsed="false">
      <c r="A43" s="26" t="s">
        <v>90</v>
      </c>
      <c r="B43" s="26"/>
      <c r="C43" s="26"/>
      <c r="D43" s="26"/>
      <c r="E43" s="26"/>
      <c r="F43" s="26"/>
      <c r="G43" s="26"/>
    </row>
  </sheetData>
  <mergeCells count="15">
    <mergeCell ref="A1:G1"/>
    <mergeCell ref="A2:G2"/>
    <mergeCell ref="A3:G3"/>
    <mergeCell ref="A5:G5"/>
    <mergeCell ref="A8:G8"/>
    <mergeCell ref="A12:G12"/>
    <mergeCell ref="A16:G16"/>
    <mergeCell ref="A19:G19"/>
    <mergeCell ref="A24:G24"/>
    <mergeCell ref="A26:G26"/>
    <mergeCell ref="A37:G37"/>
    <mergeCell ref="A40:G40"/>
    <mergeCell ref="A41:C41"/>
    <mergeCell ref="E41:G41"/>
    <mergeCell ref="A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2026-05-26T06:48:37Z</dcterms:created>
  <dc:creator>openpyxl</dc:creator>
  <dc:description/>
  <dc:language>en-US</dc:language>
  <cp:lastModifiedBy/>
  <dcterms:modified xsi:type="dcterms:W3CDTF">2026-05-26T06:48:37Z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